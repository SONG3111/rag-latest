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  <sheet xmlns:r="http://schemas.openxmlformats.org/officeDocument/2006/relationships" name="部门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12" customWidth="1" min="7" max="7"/>
  </cols>
  <sheetData>
    <row r="1">
      <c r="A1" s="1" t="inlineStr">
        <is>
          <t>报销单号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报销类型</t>
        </is>
      </c>
      <c r="E1" s="1" t="inlineStr">
        <is>
          <t>金额</t>
        </is>
      </c>
      <c r="F1" s="1" t="inlineStr">
        <is>
          <t>提交日期</t>
        </is>
      </c>
      <c r="G1" s="1" t="inlineStr">
        <is>
          <t>状态</t>
        </is>
      </c>
    </row>
    <row r="2">
      <c r="A2" t="inlineStr">
        <is>
          <t>BX-2026-001</t>
        </is>
      </c>
      <c r="B2" t="inlineStr">
        <is>
          <t>张伟</t>
        </is>
      </c>
      <c r="C2" t="inlineStr">
        <is>
          <t>销售部</t>
        </is>
      </c>
      <c r="D2" t="inlineStr">
        <is>
          <t>差旅费</t>
        </is>
      </c>
      <c r="E2" t="n">
        <v>3200</v>
      </c>
      <c r="F2" t="inlineStr">
        <is>
          <t>2026-03-02</t>
        </is>
      </c>
      <c r="G2" t="inlineStr">
        <is>
          <t>待审批</t>
        </is>
      </c>
    </row>
    <row r="3">
      <c r="A3" t="inlineStr">
        <is>
          <t>BX-2026-002</t>
        </is>
      </c>
      <c r="B3" t="inlineStr">
        <is>
          <t>李娜</t>
        </is>
      </c>
      <c r="C3" t="inlineStr">
        <is>
          <t>市场部</t>
        </is>
      </c>
      <c r="D3" t="inlineStr">
        <is>
          <t>招待费</t>
        </is>
      </c>
      <c r="E3" t="n">
        <v>8600</v>
      </c>
      <c r="F3" t="inlineStr">
        <is>
          <t>2026-03-04</t>
        </is>
      </c>
      <c r="G3" t="inlineStr">
        <is>
          <t>待审批</t>
        </is>
      </c>
    </row>
    <row r="4">
      <c r="A4" t="inlineStr">
        <is>
          <t>BX-2026-003</t>
        </is>
      </c>
      <c r="B4" t="inlineStr">
        <is>
          <t>王强</t>
        </is>
      </c>
      <c r="C4" t="inlineStr">
        <is>
          <t>技术部</t>
        </is>
      </c>
      <c r="D4" t="inlineStr">
        <is>
          <t>差旅费</t>
        </is>
      </c>
      <c r="E4" t="n">
        <v>1800</v>
      </c>
      <c r="F4" t="inlineStr">
        <is>
          <t>2026-03-05</t>
        </is>
      </c>
      <c r="G4" t="inlineStr">
        <is>
          <t>已通过</t>
        </is>
      </c>
    </row>
    <row r="5">
      <c r="A5" t="inlineStr">
        <is>
          <t>BX-2026-004</t>
        </is>
      </c>
      <c r="B5" t="inlineStr">
        <is>
          <t>赵敏</t>
        </is>
      </c>
      <c r="C5" t="inlineStr">
        <is>
          <t>销售部</t>
        </is>
      </c>
      <c r="D5" t="inlineStr">
        <is>
          <t>办公用品</t>
        </is>
      </c>
      <c r="E5" t="n">
        <v>450</v>
      </c>
      <c r="F5" t="inlineStr">
        <is>
          <t>2026-03-06</t>
        </is>
      </c>
      <c r="G5" t="inlineStr">
        <is>
          <t>已通过</t>
        </is>
      </c>
    </row>
    <row r="6">
      <c r="A6" t="inlineStr">
        <is>
          <t>BX-2026-005</t>
        </is>
      </c>
      <c r="B6" t="inlineStr">
        <is>
          <t>陈晨</t>
        </is>
      </c>
      <c r="C6" t="inlineStr">
        <is>
          <t>市场部</t>
        </is>
      </c>
      <c r="D6" t="inlineStr">
        <is>
          <t>差旅费</t>
        </is>
      </c>
      <c r="E6" t="n">
        <v>7200</v>
      </c>
      <c r="F6" t="inlineStr">
        <is>
          <t>2026-03-09</t>
        </is>
      </c>
      <c r="G6" t="inlineStr">
        <is>
          <t>待审批</t>
        </is>
      </c>
    </row>
    <row r="7">
      <c r="A7" t="inlineStr">
        <is>
          <t>BX-2026-006</t>
        </is>
      </c>
      <c r="B7" t="inlineStr">
        <is>
          <t>刘洋</t>
        </is>
      </c>
      <c r="C7" t="inlineStr">
        <is>
          <t>技术部</t>
        </is>
      </c>
      <c r="D7" t="inlineStr">
        <is>
          <t>培训费</t>
        </is>
      </c>
      <c r="E7" t="n">
        <v>5600</v>
      </c>
      <c r="F7" t="inlineStr">
        <is>
          <t>2026-03-11</t>
        </is>
      </c>
      <c r="G7" t="inlineStr">
        <is>
          <t>待审批</t>
        </is>
      </c>
    </row>
    <row r="8">
      <c r="A8" t="inlineStr">
        <is>
          <t>BX-2026-007</t>
        </is>
      </c>
      <c r="B8" t="inlineStr">
        <is>
          <t>孙婷</t>
        </is>
      </c>
      <c r="C8" t="inlineStr">
        <is>
          <t>财务部</t>
        </is>
      </c>
      <c r="D8" t="inlineStr">
        <is>
          <t>办公用品</t>
        </is>
      </c>
      <c r="E8" t="n">
        <v>320</v>
      </c>
      <c r="F8" t="inlineStr">
        <is>
          <t>2026-03-12</t>
        </is>
      </c>
      <c r="G8" t="inlineStr">
        <is>
          <t>已通过</t>
        </is>
      </c>
    </row>
    <row r="9">
      <c r="A9" t="inlineStr">
        <is>
          <t>BX-2026-008</t>
        </is>
      </c>
      <c r="B9" t="inlineStr">
        <is>
          <t>周杰</t>
        </is>
      </c>
      <c r="C9" t="inlineStr">
        <is>
          <t>销售部</t>
        </is>
      </c>
      <c r="D9" t="inlineStr">
        <is>
          <t>招待费</t>
        </is>
      </c>
      <c r="E9" t="n">
        <v>4800</v>
      </c>
      <c r="F9" t="inlineStr">
        <is>
          <t>2026-03-15</t>
        </is>
      </c>
      <c r="G9" t="inlineStr">
        <is>
          <t>待审批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s="2" t="inlineStr">
        <is>
          <t>部门</t>
        </is>
      </c>
      <c r="B1" s="2" t="inlineStr">
        <is>
          <t>报销笔数</t>
        </is>
      </c>
      <c r="C1" s="2" t="inlineStr">
        <is>
          <t>合计金额</t>
        </is>
      </c>
    </row>
    <row r="2">
      <c r="A2" t="inlineStr">
        <is>
          <t>销售部</t>
        </is>
      </c>
      <c r="B2">
        <f>COUNTIF(报销明细!C:C,A2)</f>
        <v/>
      </c>
      <c r="C2">
        <f>SUMIF(报销明细!C:C,A2,报销明细!E:E)</f>
        <v/>
      </c>
    </row>
    <row r="3">
      <c r="A3" t="inlineStr">
        <is>
          <t>市场部</t>
        </is>
      </c>
      <c r="B3">
        <f>COUNTIF(报销明细!C:C,A3)</f>
        <v/>
      </c>
      <c r="C3">
        <f>SUMIF(报销明细!C:C,A3,报销明细!E:E)</f>
        <v/>
      </c>
    </row>
    <row r="4">
      <c r="A4" t="inlineStr">
        <is>
          <t>技术部</t>
        </is>
      </c>
      <c r="B4">
        <f>COUNTIF(报销明细!C:C,A4)</f>
        <v/>
      </c>
      <c r="C4">
        <f>SUMIF(报销明细!C:C,A4,报销明细!E:E)</f>
        <v/>
      </c>
    </row>
    <row r="5">
      <c r="A5" t="inlineStr">
        <is>
          <t>财务部</t>
        </is>
      </c>
      <c r="B5">
        <f>COUNTIF(报销明细!C:C,A5)</f>
        <v/>
      </c>
      <c r="C5">
        <f>SUMIF(报销明细!C:C,A5,报销明细!E:E)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2026-09-10T17:11:31Z</dcterms:created>
  <dcterms:modified xmlns:dcterms="http://purl.org/dc/terms/" xmlns:xsi="http://www.w3.org/2001/XMLSchema-instance" xsi:type="dcterms:W3CDTF">2026-09-10T17:11:31Z</dcterms:modified>
</cp:coreProperties>
</file>